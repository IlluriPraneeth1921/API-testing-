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39A87F9-DD64-476A-9133-1F733943A74A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93_001_TC001" sheetId="12" r:id="rId1"/>
    <sheet name="647993_001_TC002" sheetId="13" r:id="rId2"/>
    <sheet name="647993_002_TC001" sheetId="14" r:id="rId3"/>
    <sheet name="647993_002_TC002" sheetId="15" r:id="rId4"/>
    <sheet name="647993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6" l="1"/>
  <c r="B14" i="16"/>
</calcChain>
</file>

<file path=xl/sharedStrings.xml><?xml version="1.0" encoding="utf-8"?>
<sst xmlns="http://schemas.openxmlformats.org/spreadsheetml/2006/main" count="230" uniqueCount="148">
  <si>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</si>
  <si>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</si>
  <si>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</si>
  <si>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</si>
  <si>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</si>
  <si>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</si>
  <si>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</si>
  <si>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</si>
  <si>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</si>
  <si>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</si>
  <si>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</si>
  <si>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</si>
  <si>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</si>
  <si>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</si>
  <si>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Greater Than or Equals to 1</t>
  </si>
  <si>
    <t>Missing Mandatory Fields - CaseKey</t>
  </si>
  <si>
    <t>The CaseKey field is required.</t>
  </si>
  <si>
    <t>Invalid CaseKey</t>
  </si>
  <si>
    <t>Case not found.</t>
  </si>
  <si>
    <t>The field Note must be a string with a maximum length of 10000.</t>
  </si>
  <si>
    <t>Scenario7</t>
  </si>
  <si>
    <t>Schema with all data updated</t>
  </si>
  <si>
    <t>Search with CaseKey</t>
  </si>
  <si>
    <t>Search with Note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</si>
  <si>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</si>
  <si>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</si>
  <si>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</si>
  <si>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</si>
  <si>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</si>
  <si>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</si>
  <si>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</si>
  <si>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</si>
  <si>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Search with Invalid Note</t>
  </si>
  <si>
    <t>Scenario16</t>
  </si>
  <si>
    <t>Search with all combinations</t>
  </si>
  <si>
    <t>Schema with coverages</t>
  </si>
  <si>
    <t>Schema with Provenance</t>
  </si>
  <si>
    <t>{
  "caseKey": "${strCaseKey}"
}</t>
  </si>
  <si>
    <t>Missing Mandatory Fields - Type</t>
  </si>
  <si>
    <t>The Type field is required.</t>
  </si>
  <si>
    <t>Invalid Vocabulary - Type</t>
  </si>
  <si>
    <t>Vocabulary not found for 'Medicare Part A'.</t>
  </si>
  <si>
    <t>Max length Validation - BeneficiaryIdentifier</t>
  </si>
  <si>
    <t>The field BeneficiaryIdentifier must be a string with a maximum length of 50.</t>
  </si>
  <si>
    <t>Max length Validation - CoverageDescription</t>
  </si>
  <si>
    <t>The field CoverageDescription must be a string with a maximum length of 250.</t>
  </si>
  <si>
    <t>Invalid Vocabulary - Coverages</t>
  </si>
  <si>
    <t>Vocabulary not found for 'Dental'.</t>
  </si>
  <si>
    <t>Date Validation - StartDate greater than EndDate</t>
  </si>
  <si>
    <t>Start date must be earlier than End date.</t>
  </si>
  <si>
    <t>The field GroupNumber must be a string with a maximum length of 20.</t>
  </si>
  <si>
    <t>Max length Validation - GroupNumber</t>
  </si>
  <si>
    <t>Max length Validation - Note</t>
  </si>
  <si>
    <t>The field OrganizationName must be a string with a maximum length of 250.</t>
  </si>
  <si>
    <t>Max length Validation - OrganizationName</t>
  </si>
  <si>
    <t>Max length Validation - PlanName</t>
  </si>
  <si>
    <t>The field PlanName must be a string with a maximum length of 100.</t>
  </si>
  <si>
    <t>Max length Validation - PolicyNumber</t>
  </si>
  <si>
    <t>The field PolicyNumber must be a string with a maximum length of 30.</t>
  </si>
  <si>
    <t>Invalid Vocabulary - Provenance Type</t>
  </si>
  <si>
    <t>Vocabulary not found for 'MMIS'.</t>
  </si>
  <si>
    <t>Schema with Coverages updated</t>
  </si>
  <si>
    <t>{
  "beneficiaryIdentifier": "BID123"
}</t>
  </si>
  <si>
    <t>Information imported from an external source cannot be edited.</t>
  </si>
  <si>
    <t>Provenance Type other than Manual Entry cannot be Edited</t>
  </si>
  <si>
    <t>${strEndPoint}/${strResource}?skip=0&amp;take=50</t>
  </si>
  <si>
    <t>Blank Search</t>
  </si>
  <si>
    <t>${strEndPoint}/${strResource}?caseKey=${strCaseKey}&amp;skip=0&amp;take=50</t>
  </si>
  <si>
    <t>${strEndPoint}/${strResource}?note=Note&amp;skip=0&amp;take=50</t>
  </si>
  <si>
    <t>${strEndPoint}/${strResource}?policyNumber=PN1234&amp;skip=0&amp;take=50</t>
  </si>
  <si>
    <t>Search with PolicyNumber</t>
  </si>
  <si>
    <t>${strEndPoint}/${strResource}?planName=PlanName&amp;skip=0&amp;take=50</t>
  </si>
  <si>
    <t>Search with PlanName</t>
  </si>
  <si>
    <t>${strEndPoint}/${strResource}?groupNumber=GN1234&amp;skip=0&amp;take=50</t>
  </si>
  <si>
    <t>Search with GroupNumber</t>
  </si>
  <si>
    <t>${strEndPoint}/${strResource}?organizationName=OrgName&amp;skip=0&amp;take=50</t>
  </si>
  <si>
    <t>Search with OrganizationName</t>
  </si>
  <si>
    <t>${strEndPoint}/${strResource}?typeDisplayName=Medicare%20Part%20A&amp;skip=0&amp;take=50</t>
  </si>
  <si>
    <t>Search with TypeDisplayName</t>
  </si>
  <si>
    <t>Scenario17</t>
  </si>
  <si>
    <t>Scenario18</t>
  </si>
  <si>
    <t>Scenario19</t>
  </si>
  <si>
    <t>Scenario20</t>
  </si>
  <si>
    <t>Scenario21</t>
  </si>
  <si>
    <t>Search with Coverage</t>
  </si>
  <si>
    <t>Search with CoverageDescription</t>
  </si>
  <si>
    <t>${strEndPoint}/${strResource}?provenanceTypeDisplayName=MMIS&amp;skip=0&amp;take=50</t>
  </si>
  <si>
    <t>Search with ProvenanceTypeDisplayName</t>
  </si>
  <si>
    <t>${strEndPoint}/${strResource}?entityCreatedAccountIdentifier=George&amp;skip=0&amp;take=50</t>
  </si>
  <si>
    <t>Search with EntityCreatedAccountIdentifier</t>
  </si>
  <si>
    <t>Search with Invalid CaseKey</t>
  </si>
  <si>
    <t>Search with Invalid PolicyNumber</t>
  </si>
  <si>
    <t>Search with Invalid PlanName</t>
  </si>
  <si>
    <t>Search with Invalid GroupNumber</t>
  </si>
  <si>
    <t>Search with Invalid OrganizationName</t>
  </si>
  <si>
    <t>Search with Invalid TypeDisplayName</t>
  </si>
  <si>
    <t>Search with Invalid Coverage</t>
  </si>
  <si>
    <t>Search with Invalid ProvenanceTypeDisplayName</t>
  </si>
  <si>
    <t>Search with Invalid EntityCreatedAccountIdentifier</t>
  </si>
  <si>
    <t>Scenario22</t>
  </si>
  <si>
    <t>Scenario23</t>
  </si>
  <si>
    <t>Scenario24</t>
  </si>
  <si>
    <t>${strEndPoint}/${strResource}?note=Invalid&amp;skip=0&amp;take=50</t>
  </si>
  <si>
    <t>${strEndPoint}/${strResource}?policyNumber=Invalid&amp;skip=0&amp;take=50</t>
  </si>
  <si>
    <t>${strEndPoint}/${strResource}?planName=Invalid&amp;skip=0&amp;take=50</t>
  </si>
  <si>
    <t>${strEndPoint}/${strResource}?groupNumber=Invalid&amp;skip=0&amp;take=50</t>
  </si>
  <si>
    <t>${strEndPoint}/${strResource}?organizationName=Invalid&amp;skip=0&amp;take=50</t>
  </si>
  <si>
    <t>${strEndPoint}/${strResource}?typeDisplayName=Invalid&amp;skip=0&amp;take=50</t>
  </si>
  <si>
    <t>${strEndPoint}/${strResource}?coverage=Invalid&amp;skip=0&amp;take=50</t>
  </si>
  <si>
    <t>${strEndPoint}/${strResource}?provenanceTypeDisplayName=Invalid&amp;skip=0&amp;take=50</t>
  </si>
  <si>
    <t>${strEndPoint}/${strResource}?entityCreatedAccountIdentifier=Invalid&amp;skip=0&amp;take=50</t>
  </si>
  <si>
    <t>${strEndPoint}/${strResource}?coverage=Dental&amp;skip=0&amp;take=50</t>
  </si>
  <si>
    <t>${strEndPoint}/${strResource}?caseKey=0AF7C189-90B1-47B9-A7D5-B031011E7F01&amp;skip=0&amp;take=50</t>
  </si>
  <si>
    <t>${strEndPoint}/${strResource}?coverage=CoverageDescription&amp;skip=0&amp;take=50</t>
  </si>
  <si>
    <t>Scenario25</t>
  </si>
  <si>
    <t>Search with EntityCreatedTimestamp</t>
  </si>
  <si>
    <t>${strEndPoint}/${strResource}?entityCreatedTimestamp=2000-06-28&amp;skip=0&amp;take=50</t>
  </si>
  <si>
    <t>Search with Invalid EntityCreatedTimestamp</t>
  </si>
  <si>
    <t>{
  "type": {
    "codeSystemIdentifier": "1",
    "name": "Medicare Part A",
    "code": "12900001"
  },
  "caseKey": "${strCaseKey}"
}</t>
  </si>
  <si>
    <t>{
  "coverageDescription": "CoverageDescription",
  "coverages": [
    {
      "codeSystemIdentifier": "1",
      "name": "Dental",
      "code": "13000006"
    },
   {
      "codeSystemIdentifier": "1",
      "name": "Behavioral Health",
      "code": "13000009"
    }
  ],
   "type": {
    "codeSystemIdentifier": "1",
    "name": "Medicare Part A",
    "code": "12900001"
  },
  "caseKey": "${strCaseKey}"
}</t>
  </si>
  <si>
    <t>{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</si>
  <si>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"Behavioral Health",
      "code": "13000009"
    },
   {
      "codeSystemIdentifier": "1",
      "name": "Dental",
      "code": "13000006"
    }
  ],
  "effectiveDateRange": {
    "endDate": "2023-06-28T12:50:35.667Z",
    "startDate": "2023-06-27T12:50:35.667Z"
  },
  "groupNumber": "GN1234",
  "note": "Note",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"Manual Entry",
      "code": "12800002"
  }
}</t>
  </si>
  <si>
    <t>{
  "type": {
    "codeSystemIdentifier": "1",
    "name": "Medicare Part A",
    "code": "12900001"
  }
}</t>
  </si>
  <si>
    <t>{
  "type": {
    "codeSystemIdentifier": "1",
    "name": "Medicare Part A",
    "code": "12900001"
  },
  "caseKey": "AAD01633-D883-48B5-9320-B03100DAE4B9"
}</t>
  </si>
  <si>
    <t>{
  "type": {
    "codeSystemIdentifier": "1",
    "name": "Medicare Part A",
    "code": "12990001"
  },
  "caseKey": "${strCaseKey}"
}</t>
  </si>
  <si>
    <t>{
  "beneficiaryIdentifier": "BeneficiarBeneficiarBeneficiarBeneficiarBeneficiar1",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</si>
  <si>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"Coverage12Coverage12Coverage12Coverage12Coverage12Coverage12Coverage12Coverage12Coverage12Coverage12Coverage12Coverage12Coverage12Coverage12Coverage12Coverage12Coverage12Coverage12Coverage12Coverage12Coverage12Coverage12Coverage12Coverage12Coverage12123",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},
  "caseKey": "${strCaseKey}",
  "provenance": {
 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</si>
  <si>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"13900006"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</si>
  <si>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"2023-05-30T12:50:35.667Z",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</si>
  <si>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"GroupNum12GroupNum1212",
  "note": "Note",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</si>
  <si>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12123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</si>
  <si>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"OrgName123OrgName123OrgName123OrgName123OrgName123OrgName123OrgName123OrgName123OrgName123OrgName123OrgName123OrgName123OrgName123OrgName123OrgName123OrgName123OrgName123OrgName123OrgName123OrgName123OrgName123OrgName123OrgName123OrgName123OrgName123123",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</si>
  <si>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"PlanName12PlanName12PlanName12PlanName12PlanName12PlanName12PlanName12PlanName12PlanName12PlanName1212",
  "policyNumber": "PN1234",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</si>
  <si>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"PolicyNo12PolicyNo12PolicyNo1212",
  "type": {
    "codeSystemIdentifier": "1",
    "name": "Medicare Part A",
    "code": "12900001"
  },
  "caseKey": "${strCaseKey}",
  "provenance": {
      "codeSystemIdentifier": "1",
      "name": "MMIS",
      "code": "12800001"
  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</si>
  <si>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},
  "caseKey": "${strCaseKey}",
  "provenance": {
      "codeSystemIdentifier": "1",
      "name": "MMIS",
      "code": "12890001"
    }
}</t>
  </si>
  <si>
    <t>{
  "type": {
    "codeSystemIdentifier": "1",
    "name": "Medicare Part B",
    "code": "12900002"
  }
}</t>
  </si>
  <si>
    <t>{
  "coverageDescription": "CoverageDescriptionUpdated",
  "coverages": [
    {
      "codeSystemIdentifier": "1",
      "name": "Vision",
      "code": "13000010"
    },
   {
      "codeSystemIdentifier": "1",
      "name": "Vision",
      "code": "13000010"
    }
  ],
   "type": {
    "codeSystemIdentifier": "1",
    "name": "Medicare Part A",
    "code": "12900001"
  }
}</t>
  </si>
  <si>
    <t>{
  "beneficiaryIdentifier": "BIUpdated1234",
  "coverageDescription": "CoverageDescriptionUpdated",
  "coverages": [
    {
      "codeSystemIdentifier": "1",
      "name": "Vision",
      "code": "13000010"
    },
   {
      "codeSystemIdentifier": "1",
      "name": "Pharmacy",
      "code": "13000007"
    }
  ],
  "effectiveDateRange": {
    "endDate": "2023-06-30T12:50:35.667Z",
    "startDate": "2023-06-29T12:50:35.667Z"
  },
  "groupNumber": "GNUpdated1234",
  "note": "NoteUpdated",
  "organizationName": "OrgNameUpdated",
  "planName": "PlanNameUpdated",
  "policyNumber": "PNUpdated1234",
  "type": {
    "codeSystemIdentifier": "1",
    "name": "Medicare Part B",
    "code": "12900002"
  }
}</t>
  </si>
  <si>
    <t>{
  "type": {
    "codeSystemIdentifier": "1",
    "name": "Medicare Part A",
    "code": "12990001"
  }
}</t>
  </si>
  <si>
    <t>{
  "beneficiaryIdentifier": "BeneficiarBeneficiarBeneficiarBeneficiarBeneficiar1",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
}</t>
  </si>
  <si>
    <t>{
  "beneficiaryIdentifier": "BI1234",
  "coverageDescription": "Coverage12Coverage12Coverage12Coverage12Coverage12Coverage12Coverage12Coverage12Coverage12Coverage12Coverage12Coverage12Coverage12Coverage12Coverage12Coverage12Coverage12Coverage12Coverage12Coverage12Coverage12Coverage12Coverage12Coverage12Coverage12123",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</si>
  <si>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"13900006"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</si>
  <si>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"2023-05-30T12:50:35.667Z",
    "startDate": "2023-06-30T12:50:35.667Z"
  },
  "groupNumber": "GN1234",
  "note": "Note",
  "organizationName": "OrgName",
  "planName": "PlanName",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</si>
  <si>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"GroupNum12GroupNum1212",
  "note": "Note",
  "organizationName": "OrgName",
  "planName": "PlanName",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</si>
  <si>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TestNote12123",
  "organizationName": "OrgName",
  "planName": "PlanName",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</si>
  <si>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"OrgName123OrgName123OrgName123OrgName123OrgName123OrgName123OrgName123OrgName123OrgName123OrgName123OrgName123OrgName123OrgName123OrgName123OrgName123OrgName123OrgName123OrgName123OrgName123OrgName123OrgName123OrgName123OrgName123OrgName123OrgName123123",
  "planName": "PlanName",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</si>
  <si>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"PlanName12PlanName12PlanName12PlanName12PlanName12PlanName12PlanName12PlanName12PlanName12PlanName1212",
  "policyNumber": "PN1234",
  "type": {
    "codeSystemIdentifier": "1",
    "name": "Medicare Part A",
    "code": "12900001"
  }
}</t>
  </si>
  <si>
    <t>{
  "beneficiaryIdentifier": "BI1234",
  "coverageDescription": "CoverageDescription",
  "coverages": [
    {
      "codeSystemIdentifier": "1",
      "name": "Dental",
      "code": "13000006"
    },
   {
      "codeSystemIdentifier": "1",
      "name": "Behavioral Health",
      "code": "13000009"
    }
  ],
  "effectiveDateRange": {
    "endDate": "2023-06-30T12:50:35.667Z",
    "startDate": "2023-06-30T12:50:35.667Z"
  },
  "groupNumber": "GN1234",
  "note": "Note",
  "organizationName": "OrgName",
  "planName": "PlanName",
  "policyNumber": "PolicyNo12PolicyNo12PolicyNo1212",
  "type": {
    "codeSystemIdentifier": "1",
    "name": "Medicare Part A",
    "code": "12900001"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</si>
</sst>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2" workbookViewId="0">
      <selection activeCell="B2" sqref="B2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99.9" customHeight="1" x14ac:dyDescent="0.3">
      <c r="A2" s="1" t="s">
        <v>2</v>
      </c>
      <c r="B2" s="1" t="s">
        <v>118</v>
      </c>
      <c r="C2" s="1" t="s">
        <v>1</v>
      </c>
    </row>
    <row r="3" spans="1:3" ht="99.9" customHeight="1" x14ac:dyDescent="0.3">
      <c r="A3" s="1" t="s">
        <v>3</v>
      </c>
      <c r="B3" s="1" t="s">
        <v>119</v>
      </c>
      <c r="C3" s="1" t="s">
        <v>35</v>
      </c>
    </row>
    <row r="4" spans="1:3" ht="187.2" x14ac:dyDescent="0.3">
      <c r="A4" s="1" t="s">
        <v>5</v>
      </c>
      <c r="B4" s="1" t="s">
        <v>120</v>
      </c>
      <c r="C4" s="1" t="s">
        <v>36</v>
      </c>
    </row>
    <row r="5" spans="1:3" ht="409.6" x14ac:dyDescent="0.3">
      <c r="A5" s="1" t="s">
        <v>6</v>
      </c>
      <c r="B5" s="1" t="s">
        <v>121</v>
      </c>
      <c r="C5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5"/>
  <sheetViews>
    <sheetView topLeftCell="A16" workbookViewId="0">
      <selection activeCell="A16" sqref="A16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99.9" customHeight="1" x14ac:dyDescent="0.3">
      <c r="A2" s="1" t="s">
        <v>2</v>
      </c>
      <c r="B2" s="1" t="s">
        <v>37</v>
      </c>
      <c r="C2" s="1" t="s">
        <v>38</v>
      </c>
      <c r="D2" s="1" t="s">
        <v>39</v>
      </c>
    </row>
    <row r="3" spans="1:4" ht="100.8" x14ac:dyDescent="0.3">
      <c r="A3" s="1" t="s">
        <v>3</v>
      </c>
      <c r="B3" s="1" t="s">
        <v>122</v>
      </c>
      <c r="C3" s="1" t="s">
        <v>15</v>
      </c>
      <c r="D3" s="1" t="s">
        <v>16</v>
      </c>
    </row>
    <row r="4" spans="1:4" ht="115.2" x14ac:dyDescent="0.3">
      <c r="A4" s="1" t="s">
        <v>5</v>
      </c>
      <c r="B4" s="1" t="s">
        <v>123</v>
      </c>
      <c r="C4" s="1" t="s">
        <v>17</v>
      </c>
      <c r="D4" s="1" t="s">
        <v>18</v>
      </c>
    </row>
    <row r="5" spans="1:4" ht="115.2" x14ac:dyDescent="0.3">
      <c r="A5" s="1" t="s">
        <v>6</v>
      </c>
      <c r="B5" s="1" t="s">
        <v>124</v>
      </c>
      <c r="C5" s="1" t="s">
        <v>40</v>
      </c>
      <c r="D5" s="1" t="s">
        <v>41</v>
      </c>
    </row>
    <row r="6" spans="1:4" ht="409.6" x14ac:dyDescent="0.3">
      <c r="A6" s="1" t="s">
        <v>7</v>
      </c>
      <c r="B6" s="1" t="s">
        <v>125</v>
      </c>
      <c r="C6" s="1" t="s">
        <v>42</v>
      </c>
      <c r="D6" s="1" t="s">
        <v>43</v>
      </c>
    </row>
    <row r="7" spans="1:4" ht="99.9" customHeight="1" x14ac:dyDescent="0.3">
      <c r="A7" s="1" t="s">
        <v>8</v>
      </c>
      <c r="B7" s="1" t="s">
        <v>126</v>
      </c>
      <c r="C7" s="1" t="s">
        <v>44</v>
      </c>
      <c r="D7" s="1" t="s">
        <v>45</v>
      </c>
    </row>
    <row r="8" spans="1:4" ht="409.6" x14ac:dyDescent="0.3">
      <c r="A8" s="1" t="s">
        <v>20</v>
      </c>
      <c r="B8" s="1" t="s">
        <v>127</v>
      </c>
      <c r="C8" s="1" t="s">
        <v>46</v>
      </c>
      <c r="D8" s="1" t="s">
        <v>47</v>
      </c>
    </row>
    <row r="9" spans="1:4" ht="409.6" x14ac:dyDescent="0.3">
      <c r="A9" s="1" t="s">
        <v>24</v>
      </c>
      <c r="B9" s="1" t="s">
        <v>128</v>
      </c>
      <c r="C9" s="1" t="s">
        <v>48</v>
      </c>
      <c r="D9" s="1" t="s">
        <v>49</v>
      </c>
    </row>
    <row r="10" spans="1:4" ht="409.6" x14ac:dyDescent="0.3">
      <c r="A10" s="1" t="s">
        <v>25</v>
      </c>
      <c r="B10" s="1" t="s">
        <v>129</v>
      </c>
      <c r="C10" s="1" t="s">
        <v>51</v>
      </c>
      <c r="D10" s="1" t="s">
        <v>50</v>
      </c>
    </row>
    <row r="11" spans="1:4" ht="409.6" x14ac:dyDescent="0.3">
      <c r="A11" s="1" t="s">
        <v>26</v>
      </c>
      <c r="B11" s="1" t="s">
        <v>130</v>
      </c>
      <c r="C11" s="1" t="s">
        <v>52</v>
      </c>
      <c r="D11" s="1" t="s">
        <v>19</v>
      </c>
    </row>
    <row r="12" spans="1:4" ht="409.6" x14ac:dyDescent="0.3">
      <c r="A12" s="1" t="s">
        <v>27</v>
      </c>
      <c r="B12" s="1" t="s">
        <v>131</v>
      </c>
      <c r="C12" s="1" t="s">
        <v>54</v>
      </c>
      <c r="D12" s="1" t="s">
        <v>53</v>
      </c>
    </row>
    <row r="13" spans="1:4" ht="409.6" x14ac:dyDescent="0.3">
      <c r="A13" s="1" t="s">
        <v>28</v>
      </c>
      <c r="B13" s="1" t="s">
        <v>132</v>
      </c>
      <c r="C13" s="1" t="s">
        <v>55</v>
      </c>
      <c r="D13" s="1" t="s">
        <v>56</v>
      </c>
    </row>
    <row r="14" spans="1:4" ht="409.6" x14ac:dyDescent="0.3">
      <c r="A14" s="1" t="s">
        <v>29</v>
      </c>
      <c r="B14" s="1" t="s">
        <v>133</v>
      </c>
      <c r="C14" s="1" t="s">
        <v>57</v>
      </c>
      <c r="D14" s="1" t="s">
        <v>58</v>
      </c>
    </row>
    <row r="15" spans="1:4" ht="409.6" x14ac:dyDescent="0.3">
      <c r="A15" s="1" t="s">
        <v>30</v>
      </c>
      <c r="B15" s="1" t="s">
        <v>134</v>
      </c>
      <c r="C15" s="1" t="s">
        <v>59</v>
      </c>
      <c r="D15" s="1" t="s">
        <v>60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4"/>
  <sheetViews>
    <sheetView topLeftCell="A4" workbookViewId="0">
      <selection activeCell="A4" sqref="A4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100.8" x14ac:dyDescent="0.3">
      <c r="A2" s="1" t="s">
        <v>2</v>
      </c>
      <c r="B2" s="1" t="s">
        <v>135</v>
      </c>
      <c r="C2" s="1" t="s">
        <v>1</v>
      </c>
    </row>
    <row r="3" spans="1:3" ht="302.39999999999998" x14ac:dyDescent="0.3">
      <c r="A3" s="1" t="s">
        <v>3</v>
      </c>
      <c r="B3" s="1" t="s">
        <v>136</v>
      </c>
      <c r="C3" s="1" t="s">
        <v>61</v>
      </c>
    </row>
    <row r="4" spans="1:3" ht="409.6" x14ac:dyDescent="0.3">
      <c r="A4" s="1" t="s">
        <v>5</v>
      </c>
      <c r="B4" s="1" t="s">
        <v>137</v>
      </c>
      <c r="C4" s="1" t="s">
        <v>21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3"/>
  <sheetViews>
    <sheetView topLeftCell="A12" workbookViewId="0">
      <selection activeCell="A12" sqref="A12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43.2" x14ac:dyDescent="0.3">
      <c r="A2" s="1" t="s">
        <v>2</v>
      </c>
      <c r="B2" s="1" t="s">
        <v>62</v>
      </c>
      <c r="C2" s="1" t="s">
        <v>38</v>
      </c>
      <c r="D2" s="1" t="s">
        <v>39</v>
      </c>
    </row>
    <row r="3" spans="1:4" ht="100.8" x14ac:dyDescent="0.3">
      <c r="A3" s="1" t="s">
        <v>3</v>
      </c>
      <c r="B3" s="1" t="s">
        <v>138</v>
      </c>
      <c r="C3" s="1" t="s">
        <v>40</v>
      </c>
      <c r="D3" s="1" t="s">
        <v>41</v>
      </c>
    </row>
    <row r="4" spans="1:4" ht="409.6" x14ac:dyDescent="0.3">
      <c r="A4" s="1" t="s">
        <v>5</v>
      </c>
      <c r="B4" s="1" t="s">
        <v>139</v>
      </c>
      <c r="C4" s="1" t="s">
        <v>42</v>
      </c>
      <c r="D4" s="1" t="s">
        <v>43</v>
      </c>
    </row>
    <row r="5" spans="1:4" ht="409.6" x14ac:dyDescent="0.3">
      <c r="A5" s="1" t="s">
        <v>6</v>
      </c>
      <c r="B5" s="1" t="s">
        <v>140</v>
      </c>
      <c r="C5" s="1" t="s">
        <v>44</v>
      </c>
      <c r="D5" s="1" t="s">
        <v>45</v>
      </c>
    </row>
    <row r="6" spans="1:4" ht="409.6" x14ac:dyDescent="0.3">
      <c r="A6" s="1" t="s">
        <v>7</v>
      </c>
      <c r="B6" s="1" t="s">
        <v>141</v>
      </c>
      <c r="C6" s="1" t="s">
        <v>46</v>
      </c>
      <c r="D6" s="1" t="s">
        <v>47</v>
      </c>
    </row>
    <row r="7" spans="1:4" ht="409.6" x14ac:dyDescent="0.3">
      <c r="A7" s="1" t="s">
        <v>8</v>
      </c>
      <c r="B7" s="1" t="s">
        <v>142</v>
      </c>
      <c r="C7" s="1" t="s">
        <v>48</v>
      </c>
      <c r="D7" s="1" t="s">
        <v>49</v>
      </c>
    </row>
    <row r="8" spans="1:4" ht="409.6" x14ac:dyDescent="0.3">
      <c r="A8" s="1" t="s">
        <v>20</v>
      </c>
      <c r="B8" s="1" t="s">
        <v>143</v>
      </c>
      <c r="C8" s="1" t="s">
        <v>51</v>
      </c>
      <c r="D8" s="1" t="s">
        <v>50</v>
      </c>
    </row>
    <row r="9" spans="1:4" ht="409.6" x14ac:dyDescent="0.3">
      <c r="A9" s="1" t="s">
        <v>24</v>
      </c>
      <c r="B9" s="1" t="s">
        <v>144</v>
      </c>
      <c r="C9" s="1" t="s">
        <v>52</v>
      </c>
      <c r="D9" s="1" t="s">
        <v>19</v>
      </c>
    </row>
    <row r="10" spans="1:4" ht="409.6" x14ac:dyDescent="0.3">
      <c r="A10" s="1" t="s">
        <v>25</v>
      </c>
      <c r="B10" s="1" t="s">
        <v>145</v>
      </c>
      <c r="C10" s="1" t="s">
        <v>54</v>
      </c>
      <c r="D10" s="1" t="s">
        <v>53</v>
      </c>
    </row>
    <row r="11" spans="1:4" ht="409.6" x14ac:dyDescent="0.3">
      <c r="A11" s="1" t="s">
        <v>26</v>
      </c>
      <c r="B11" s="1" t="s">
        <v>146</v>
      </c>
      <c r="C11" s="1" t="s">
        <v>55</v>
      </c>
      <c r="D11" s="1" t="s">
        <v>56</v>
      </c>
    </row>
    <row r="12" spans="1:4" ht="409.6" x14ac:dyDescent="0.3">
      <c r="A12" s="1" t="s">
        <v>27</v>
      </c>
      <c r="B12" s="1" t="s">
        <v>147</v>
      </c>
      <c r="C12" s="1" t="s">
        <v>57</v>
      </c>
      <c r="D12" s="1" t="s">
        <v>58</v>
      </c>
    </row>
    <row r="13" spans="1:4" ht="100.8" x14ac:dyDescent="0.3">
      <c r="A13" s="1" t="s">
        <v>28</v>
      </c>
      <c r="B13" s="3" t="s">
        <v>135</v>
      </c>
      <c r="C13" s="1" t="s">
        <v>64</v>
      </c>
      <c r="D13" s="1" t="s">
        <v>63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26"/>
  <sheetViews>
    <sheetView topLeftCell="A9" workbookViewId="0">
      <selection activeCell="B16" sqref="B16"/>
    </sheetView>
  </sheetViews>
  <sheetFormatPr defaultRowHeight="14.4" x14ac:dyDescent="0.3"/>
  <cols>
    <col min="1" max="1" width="10.5546875" bestFit="1" customWidth="1"/>
    <col min="2" max="2" width="89.5546875" customWidth="1"/>
    <col min="3" max="3" width="25" bestFit="1" customWidth="1"/>
    <col min="4" max="4" width="44" bestFit="1" customWidth="1"/>
  </cols>
  <sheetData>
    <row r="1" spans="1:4" x14ac:dyDescent="0.3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3">
      <c r="A2" t="s">
        <v>2</v>
      </c>
      <c r="B2" t="s">
        <v>65</v>
      </c>
      <c r="C2" t="s">
        <v>14</v>
      </c>
      <c r="D2" t="s">
        <v>66</v>
      </c>
    </row>
    <row r="3" spans="1:4" x14ac:dyDescent="0.3">
      <c r="A3" t="s">
        <v>3</v>
      </c>
      <c r="B3" t="s">
        <v>67</v>
      </c>
      <c r="C3" t="s">
        <v>14</v>
      </c>
      <c r="D3" t="s">
        <v>22</v>
      </c>
    </row>
    <row r="4" spans="1:4" x14ac:dyDescent="0.3">
      <c r="A4" t="s">
        <v>5</v>
      </c>
      <c r="B4" t="s">
        <v>68</v>
      </c>
      <c r="C4" t="s">
        <v>14</v>
      </c>
      <c r="D4" t="s">
        <v>23</v>
      </c>
    </row>
    <row r="5" spans="1:4" x14ac:dyDescent="0.3">
      <c r="A5" t="s">
        <v>6</v>
      </c>
      <c r="B5" t="s">
        <v>69</v>
      </c>
      <c r="C5" t="s">
        <v>14</v>
      </c>
      <c r="D5" t="s">
        <v>70</v>
      </c>
    </row>
    <row r="6" spans="1:4" x14ac:dyDescent="0.3">
      <c r="A6" t="s">
        <v>7</v>
      </c>
      <c r="B6" t="s">
        <v>71</v>
      </c>
      <c r="C6" t="s">
        <v>14</v>
      </c>
      <c r="D6" t="s">
        <v>72</v>
      </c>
    </row>
    <row r="7" spans="1:4" x14ac:dyDescent="0.3">
      <c r="A7" t="s">
        <v>8</v>
      </c>
      <c r="B7" t="s">
        <v>73</v>
      </c>
      <c r="C7" t="s">
        <v>14</v>
      </c>
      <c r="D7" t="s">
        <v>74</v>
      </c>
    </row>
    <row r="8" spans="1:4" x14ac:dyDescent="0.3">
      <c r="A8" t="s">
        <v>20</v>
      </c>
      <c r="B8" t="s">
        <v>75</v>
      </c>
      <c r="C8" t="s">
        <v>14</v>
      </c>
      <c r="D8" t="s">
        <v>76</v>
      </c>
    </row>
    <row r="9" spans="1:4" x14ac:dyDescent="0.3">
      <c r="A9" t="s">
        <v>24</v>
      </c>
      <c r="B9" t="s">
        <v>77</v>
      </c>
      <c r="C9" t="s">
        <v>14</v>
      </c>
      <c r="D9" t="s">
        <v>78</v>
      </c>
    </row>
    <row r="10" spans="1:4" x14ac:dyDescent="0.3">
      <c r="A10" t="s">
        <v>25</v>
      </c>
      <c r="B10" t="s">
        <v>111</v>
      </c>
      <c r="C10" t="s">
        <v>14</v>
      </c>
      <c r="D10" t="s">
        <v>84</v>
      </c>
    </row>
    <row r="11" spans="1:4" x14ac:dyDescent="0.3">
      <c r="A11" t="s">
        <v>26</v>
      </c>
      <c r="B11" t="s">
        <v>113</v>
      </c>
      <c r="C11" t="s">
        <v>14</v>
      </c>
      <c r="D11" t="s">
        <v>85</v>
      </c>
    </row>
    <row r="12" spans="1:4" x14ac:dyDescent="0.3">
      <c r="A12" t="s">
        <v>27</v>
      </c>
      <c r="B12" t="s">
        <v>86</v>
      </c>
      <c r="C12" t="s">
        <v>14</v>
      </c>
      <c r="D12" t="s">
        <v>87</v>
      </c>
    </row>
    <row r="13" spans="1:4" x14ac:dyDescent="0.3">
      <c r="A13" t="s">
        <v>28</v>
      </c>
      <c r="B13" t="s">
        <v>88</v>
      </c>
      <c r="C13" t="s">
        <v>14</v>
      </c>
      <c r="D13" t="s">
        <v>89</v>
      </c>
    </row>
    <row r="14" spans="1:4" x14ac:dyDescent="0.3">
      <c r="A14" t="s">
        <v>29</v>
      </c>
      <c r="B14" t="str">
        <f ca="1">"${strEndPoint}/${strResource}?entityCreatedTimestamp="&amp;TEXT(TODAY(),"yyyy-mm-dd")&amp;"&amp;skip=0&amp;take=50"</f>
        <v>${strEndPoint}/${strResource}?entityCreatedTimestamp=2025-04-24&amp;skip=0&amp;take=50</v>
      </c>
      <c r="C14" t="s">
        <v>14</v>
      </c>
      <c r="D14" t="s">
        <v>115</v>
      </c>
    </row>
    <row r="15" spans="1:4" x14ac:dyDescent="0.3">
      <c r="A15" t="s">
        <v>30</v>
      </c>
      <c r="B15" t="str">
        <f ca="1">"${strEndPoint}/${strResource}?caseKey=${strCaseKey}&amp;note=Note&amp;policyNumber=PN1234&amp;planName=PlanName&amp;groupNumber=GN1234&amp;organizationName=OrgName&amp;typeDisplayName=Medicare%20Part%20A&amp;coverage=CoverageDescription&amp;entityCreatedTimestamp="&amp;TEXT(TODAY(),"yyyy-mm-dd")&amp;"&amp;provenanceTypeDisplayName=Manual%20Entry&amp;entityCreatedAccountIdentifier=George&amp;skip=0&amp;take=50"</f>
        <v>${strEndPoint}/${strResource}?caseKey=${strCaseKey}&amp;note=Note&amp;policyNumber=PN1234&amp;planName=PlanName&amp;groupNumber=GN1234&amp;organizationName=OrgName&amp;typeDisplayName=Medicare%20Part%20A&amp;coverage=CoverageDescription&amp;entityCreatedTimestamp=2025-04-24&amp;provenanceTypeDisplayName=Manual%20Entry&amp;entityCreatedAccountIdentifier=George&amp;skip=0&amp;take=50</v>
      </c>
      <c r="C15" t="s">
        <v>14</v>
      </c>
      <c r="D15" t="s">
        <v>34</v>
      </c>
    </row>
    <row r="16" spans="1:4" x14ac:dyDescent="0.3">
      <c r="A16" t="s">
        <v>31</v>
      </c>
      <c r="B16" t="s">
        <v>112</v>
      </c>
      <c r="C16">
        <v>0</v>
      </c>
      <c r="D16" t="s">
        <v>90</v>
      </c>
    </row>
    <row r="17" spans="1:4" x14ac:dyDescent="0.3">
      <c r="A17" t="s">
        <v>33</v>
      </c>
      <c r="B17" t="s">
        <v>102</v>
      </c>
      <c r="C17">
        <v>0</v>
      </c>
      <c r="D17" t="s">
        <v>32</v>
      </c>
    </row>
    <row r="18" spans="1:4" x14ac:dyDescent="0.3">
      <c r="A18" t="s">
        <v>79</v>
      </c>
      <c r="B18" t="s">
        <v>103</v>
      </c>
      <c r="C18">
        <v>0</v>
      </c>
      <c r="D18" t="s">
        <v>91</v>
      </c>
    </row>
    <row r="19" spans="1:4" x14ac:dyDescent="0.3">
      <c r="A19" t="s">
        <v>80</v>
      </c>
      <c r="B19" t="s">
        <v>104</v>
      </c>
      <c r="C19">
        <v>0</v>
      </c>
      <c r="D19" t="s">
        <v>92</v>
      </c>
    </row>
    <row r="20" spans="1:4" x14ac:dyDescent="0.3">
      <c r="A20" t="s">
        <v>81</v>
      </c>
      <c r="B20" t="s">
        <v>105</v>
      </c>
      <c r="C20">
        <v>0</v>
      </c>
      <c r="D20" t="s">
        <v>93</v>
      </c>
    </row>
    <row r="21" spans="1:4" x14ac:dyDescent="0.3">
      <c r="A21" t="s">
        <v>82</v>
      </c>
      <c r="B21" t="s">
        <v>106</v>
      </c>
      <c r="C21">
        <v>0</v>
      </c>
      <c r="D21" t="s">
        <v>94</v>
      </c>
    </row>
    <row r="22" spans="1:4" x14ac:dyDescent="0.3">
      <c r="A22" t="s">
        <v>83</v>
      </c>
      <c r="B22" t="s">
        <v>107</v>
      </c>
      <c r="C22">
        <v>0</v>
      </c>
      <c r="D22" t="s">
        <v>95</v>
      </c>
    </row>
    <row r="23" spans="1:4" x14ac:dyDescent="0.3">
      <c r="A23" t="s">
        <v>99</v>
      </c>
      <c r="B23" t="s">
        <v>108</v>
      </c>
      <c r="C23">
        <v>0</v>
      </c>
      <c r="D23" t="s">
        <v>96</v>
      </c>
    </row>
    <row r="24" spans="1:4" x14ac:dyDescent="0.3">
      <c r="A24" t="s">
        <v>100</v>
      </c>
      <c r="B24" t="s">
        <v>109</v>
      </c>
      <c r="C24">
        <v>0</v>
      </c>
      <c r="D24" t="s">
        <v>97</v>
      </c>
    </row>
    <row r="25" spans="1:4" x14ac:dyDescent="0.3">
      <c r="A25" t="s">
        <v>101</v>
      </c>
      <c r="B25" t="s">
        <v>110</v>
      </c>
      <c r="C25">
        <v>0</v>
      </c>
      <c r="D25" t="s">
        <v>98</v>
      </c>
    </row>
    <row r="26" spans="1:4" x14ac:dyDescent="0.3">
      <c r="A26" t="s">
        <v>114</v>
      </c>
      <c r="B26" t="s">
        <v>116</v>
      </c>
      <c r="C26">
        <v>0</v>
      </c>
      <c r="D26" t="s">
        <v>117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647993_001_TC001</vt:lpstr>
      <vt:lpstr>647993_001_TC002</vt:lpstr>
      <vt:lpstr>647993_002_TC001</vt:lpstr>
      <vt:lpstr>647993_002_TC002</vt:lpstr>
      <vt:lpstr>647993_003_TC001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2025-04-23T18:43:33Z</dcterms:modified>
</cp:coreProperties>
</file>