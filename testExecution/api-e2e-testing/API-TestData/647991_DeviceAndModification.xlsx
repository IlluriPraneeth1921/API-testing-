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06CD7B40-A93B-4C7D-A4E2-195971D668F2}" xr6:coauthVersionLast="47" xr6:coauthVersionMax="47" xr10:uidLastSave="{00000000-0000-0000-0000-000000000000}"/>
  <bookViews>
    <workbookView xWindow="-108" yWindow="-108" windowWidth="23256" windowHeight="12456" tabRatio="821" xr2:uid="{FB437BD9-4435-431A-967E-D926BB2B2714}"/>
  </bookViews>
  <sheets>
    <sheet name="647991_001_TC001" sheetId="12" r:id="rId1"/>
    <sheet name="647991_001_TC002" sheetId="13" r:id="rId2"/>
    <sheet name="647991_002_TC001" sheetId="14" r:id="rId3"/>
    <sheet name="647991_002_TC002" sheetId="15" r:id="rId4"/>
    <sheet name="647991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6" l="1"/>
  <c r="B9" i="16"/>
  <c r="B18" i="16"/>
</calcChain>
</file>

<file path=xl/sharedStrings.xml><?xml version="1.0" encoding="utf-8"?>
<sst xmlns="http://schemas.openxmlformats.org/spreadsheetml/2006/main" count="152" uniqueCount="96">
  <si>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</si>
  <si>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</si>
  <si>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</si>
  <si>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</si>
  <si>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</si>
  <si>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</si>
  <si>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</si>
  <si>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</si>
  <si>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</si>
  <si>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</si>
  <si>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Schema with all data</t>
  </si>
  <si>
    <t>LogMessage</t>
  </si>
  <si>
    <t>RequestURL</t>
  </si>
  <si>
    <t>RecordCount</t>
  </si>
  <si>
    <t>Greater Than or Equals to 1</t>
  </si>
  <si>
    <t>Schema with isactive</t>
  </si>
  <si>
    <t>Schema with note</t>
  </si>
  <si>
    <t>Missing Mandatory Fields - CaseKey</t>
  </si>
  <si>
    <t>The CaseKey field is required.</t>
  </si>
  <si>
    <t>Invalid CaseKey</t>
  </si>
  <si>
    <t>Case not found.</t>
  </si>
  <si>
    <t>The field Note must be a string with a maximum length of 10000.</t>
  </si>
  <si>
    <t>Scenario7</t>
  </si>
  <si>
    <t>Schema with isactive updated</t>
  </si>
  <si>
    <t>Schema with note updated</t>
  </si>
  <si>
    <t>Schema with all data updated</t>
  </si>
  <si>
    <t>${strEndPoint}/${strResource}?personKey=${strPersonKey}&amp;isActive=true&amp;skip=0&amp;take=50</t>
  </si>
  <si>
    <t>${strEndPoint}/${strResource}?caseKey=${strCaseKey}&amp;isActive=true&amp;skip=0&amp;take=50</t>
  </si>
  <si>
    <t>Search with Allergy Type Display Name</t>
  </si>
  <si>
    <t>Search with CaseKey</t>
  </si>
  <si>
    <t>Search with PersonKey</t>
  </si>
  <si>
    <t>Search with mandatory fields - IsActive</t>
  </si>
  <si>
    <t>${strEndPoint}/${strResource}?note=Note&amp;isActive=true&amp;skip=0&amp;take=50</t>
  </si>
  <si>
    <t>Search with Note</t>
  </si>
  <si>
    <t>Scenario8</t>
  </si>
  <si>
    <t>${strEndPoint}/${strResource}?entityCreatedAccountIdentifier=George.Parker&amp;isActive=true&amp;skip=0&amp;take=50</t>
  </si>
  <si>
    <t>Search with entityCreatedAccountIdentifier</t>
  </si>
  <si>
    <t>Search with entityCreatedTimeStamp</t>
  </si>
  <si>
    <t>Scenario9</t>
  </si>
  <si>
    <t>Scenario10</t>
  </si>
  <si>
    <t>Scenario11</t>
  </si>
  <si>
    <t>Scenario12</t>
  </si>
  <si>
    <t>Scenario13</t>
  </si>
  <si>
    <t>Scenario14</t>
  </si>
  <si>
    <t>Scenario15</t>
  </si>
  <si>
    <t>Search with Invalid PersonKey</t>
  </si>
  <si>
    <t>Search with InvalidCaseKey</t>
  </si>
  <si>
    <t>Search with Invalid Allergy Type Display Name</t>
  </si>
  <si>
    <t>Search with Invalid entityCreatedAccountIdentifier</t>
  </si>
  <si>
    <t>Search with Invalid entityCreatedTimeStamp</t>
  </si>
  <si>
    <t>Search with Invalid Note</t>
  </si>
  <si>
    <t>${strEndPoint}/${strResource}?personKey=D5239335-39DF-4B71-A3C6-B01C00C9FF3E&amp;isActive=true&amp;skip=0&amp;take=50</t>
  </si>
  <si>
    <t>${strEndPoint}/${strResource}?caseKey=D5239335-39DF-4B71-A3C6-B01C00C9FF3E&amp;isActive=true&amp;skip=0&amp;take=50</t>
  </si>
  <si>
    <t>${strEndPoint}/${strResource}?note=Invalid&amp;isActive=true&amp;skip=0&amp;take=50</t>
  </si>
  <si>
    <t>${strEndPoint}/${strResource}?entityCreatedAccountIdentifier=Invalid&amp;isActive=true&amp;skip=0&amp;take=50</t>
  </si>
  <si>
    <t>${strEndPoint}/${strResource}?entityCreatedTimeStamp=1900-06-12&amp;isActive=true&amp;skip=0&amp;take=50</t>
  </si>
  <si>
    <t>Scenario16</t>
  </si>
  <si>
    <t>Search with all combinations</t>
  </si>
  <si>
    <t>Missing Mandatory Fields - Type</t>
  </si>
  <si>
    <t>The Type field is required.</t>
  </si>
  <si>
    <t>Missing Mandatory Fields - SubType</t>
  </si>
  <si>
    <t>The SubType field is required.</t>
  </si>
  <si>
    <t>Invalid Vocabulary - Type</t>
  </si>
  <si>
    <t>Vocabulary not found for 'Medical Device'.</t>
  </si>
  <si>
    <t>Invalid Vocabulary - SubType</t>
  </si>
  <si>
    <t>Vocabulary not found for 'Wheelchair'.</t>
  </si>
  <si>
    <t>Max length Validation - Note</t>
  </si>
  <si>
    <t>Duplicate Records</t>
  </si>
  <si>
    <t>Cannot add multiple current records of the same type and device.</t>
  </si>
  <si>
    <t>${strEndPoint}/${strResource}?subTypeDisplayName=Invalid&amp;isActive=true&amp;skip=0&amp;take=50</t>
  </si>
  <si>
    <t>${strEndPoint}/${strResource}?typeDisplayName=Invalid&amp;isActive=true&amp;skip=0&amp;take=50</t>
  </si>
  <si>
    <t>${strEndPoint}/${strResource}?subTypeDisplayName=Wheelchair&amp;isActive=true&amp;skip=0&amp;take=50</t>
  </si>
  <si>
    <t>${strEndPoint}/${strResource}?skip=0&amp;take=50</t>
  </si>
  <si>
    <t>${strEndPoint}/${strResource}?typeDisplayName=Medical%20Device&amp;isActive=true&amp;skip=0&amp;take=50</t>
  </si>
  <si>
    <t>Scenario17</t>
  </si>
  <si>
    <t>{
  "caseKey": "${strCaseKey}",
  "subType": {
    "codeSystemIdentifier": "1",
    "name": "Wheelchair",
    "code": "24100016"
  },
  "type": {
    "codeSystemIdentifier": "1",
    "name": "Medical Device",
    "code": "24000001"
  }
}</t>
  </si>
  <si>
    <t>{
  "caseKey": "${strCaseKey}",
  "subType": {
    "codeSystemIdentifier": "1",
    "name": "OtherDisplayName",
    "code": "100003"
  },
  "type": {
    "codeSystemIdentifier": "1",
    "name": "Medical Device",
    "code": "24000001"
  },
  "isActive": true
}</t>
  </si>
  <si>
    <t>{
  "caseKey": "${strCaseKey}",
  "subType": {
    "codeSystemIdentifier": "1",
    "name": "Wheelchair",
    "code": "24100016"
  },
  "type": {
    "codeSystemIdentifier": "1",
    "name": "Medical Device",
    "code": "24000001"
  },
  "isActive": true,
  "note": "note"
}</t>
  </si>
  <si>
    <t>{
  "caseKey": "${strCaseKey}",
  "subType": {
    "codeSystemIdentifier": "1",
    "name": "Wheelchair",
    "code": "24100016"
  },
  "type": {
    "codeSystemIdentifier": "1",
    "name": "Medical Device",
    "code": "24000001"
  },
  "isActive": true,
  "note": "Note"
}</t>
  </si>
  <si>
    <t>{
  "subType": {
    "codeSystemIdentifier": "1",
    "name": "Wheelchair",
    "code": "24100016"
  },
  "type": {
    "codeSystemIdentifier": "1",
    "name": "Medical Device",
    "code": "24000001"
  },
  "isActive": true,
  "note": "note"
}</t>
  </si>
  <si>
    <t>{
  "caseKey": "${strCaseKey}",
  "subType": {
    "codeSystemIdentifier": "1",
    "name": "Wheelchair",
    "code": "24100016"
  },
  "isActive": true,
  "note": "note"
}</t>
  </si>
  <si>
    <t>{
  "caseKey": "${strCaseKey}",
  "type": {
    "codeSystemIdentifier": "1",
    "name": "Medical Device",
    "code": "24000001"
  },
  "isActive": true,
  "note": "note"
}</t>
  </si>
  <si>
    <t>{
  "caseKey": "14999CC2-CBE2-4998-893C-B01F00873FEE",
  "subType": {
    "codeSystemIdentifier": "1",
    "name": "Wheelchair",
    "code": "24100016"
  },
  "type": {
    "codeSystemIdentifier": "1",
    "name": "Medical Device",
    "code": "24000001"
  },
  "isActive": true,
  "note": "note"
}</t>
  </si>
  <si>
    <t>{
  "caseKey": "${strCaseKey}",
  "subType": {
    "codeSystemIdentifier": "1",
    "name": "Wheelchair",
    "code": "24100016"
  },
  "type": {
    "codeSystemIdentifier": "1",
    "name": "Medical Device",
    "code": "24900001"
  },
  "isActive": true,
  "note": "note"
}</t>
  </si>
  <si>
    <t>{
  "caseKey": "${strCaseKey}",
  "subType": {
    "codeSystemIdentifier": "1",
    "name": "Wheelchair",
    "code": "24900016"
  },
  "type": {
    "codeSystemIdentifier": "1",
    "name": "Medical Device",
    "code": "24000001"
  },
  "isActive": true,
  "note": "note"
}</t>
  </si>
  <si>
    <t>{
  "caseKey": "${strCaseKey}",
  "subType": {
    "codeSystemIdentifier": "1",
    "name": "Wheelchair",
    "code": "24100016"
  },
  "type": {
    "codeSystemIdentifier": "1",
    "name": "Medical Device",
    "code": "24000001"
  },
  "isActive": true,
  "note": "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12123"
}</t>
  </si>
  <si>
    <t>{
  "caseKey": "${strExistingCaseKey}",
  "subType": {
    "codeSystemIdentifier": "1",
    "name": "Wheelchair",
    "code": "24100016"
  },
  "type": {
    "codeSystemIdentifier": "1",
    "name": "Medical Device",
    "code": "24000001"
  },
  "isActive": true,
  "note": "note"
}</t>
  </si>
  <si>
    <t>{
  "subType": {
    "codeSystemIdentifier": "1",
    "name": "Thickened liquids",
    "code": "24100043"
  },
  "type": {
    "codeSystemIdentifier": "1",
    "name": "Dietary Modification",
    "code": "24000003"
  }
}</t>
  </si>
  <si>
    <t>{
  "subType": {
    "codeSystemIdentifier": "1",
    "name": "OtherDisplayName",
    "code": "100003"
  },
  "type": {
    "codeSystemIdentifier": "1",
    "name": "Medical Device",
    "code": "24000001"
  },
  "isActive": false
}</t>
  </si>
  <si>
    <t>{
  "subType": {
    "codeSystemIdentifier": "1",
    "name": "Wheelchair",
    "code": "24100016"
  },
  "type": {
    "codeSystemIdentifier": "1",
    "name": "Medical Device",
    "code": "24000001"
  },
  "isActive": true,
  "note": "noteupdated"
}</t>
  </si>
  <si>
    <t>{
  "subType": {
    "codeSystemIdentifier": "1",
    "name": "Thickened liquids",
    "code": "24100043"
  },
  "type": {
    "codeSystemIdentifier": "1",
    "name": "Dietary Modification",
    "code": "24000003"
  },
  "isActive": true,
  "note": "noteupdated"
}</t>
  </si>
  <si>
    <t>{
  "subType": {
    "codeSystemIdentifier": "1",
    "name": "Wheelchair",
    "code": "24100016"
  },
  "isActive": true,
  "note": "note"
}</t>
  </si>
  <si>
    <t>{
  "type": {
    "codeSystemIdentifier": "1",
    "name": "Medical Device",
    "code": "24000001"
  },
  "isActive": true,
  "note": "note"
}</t>
  </si>
  <si>
    <t>{
  "subType": {
    "codeSystemIdentifier": "1",
    "name": "Wheelchair",
    "code": "24100016"
  },
  "type": {
    "codeSystemIdentifier": "1",
    "name": "Medical Device",
    "code": "24900001"
  },
  "isActive": true,
  "note": "note"
}</t>
  </si>
  <si>
    <t>{
  "subType": {
    "codeSystemIdentifier": "1",
    "name": "Wheelchair",
    "code": "24900016"
  },
  "type": {
    "codeSystemIdentifier": "1",
    "name": "Medical Device",
    "code": "24000001"
  },
  "isActive": true,
  "note": "note"
}</t>
  </si>
  <si>
    <t>{
  "subType": {
    "codeSystemIdentifier": "1",
    "name": "Wheelchair",
    "code": "24100016"
  },
  "type": {
    "codeSystemIdentifier": "1",
    "name": "Medical Device",
    "code": "24000001"
  },
  "isActive": true,
  "note": "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notenote12123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</si>
</sst>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5"/>
  <sheetViews>
    <sheetView tabSelected="1" topLeftCell="A2" workbookViewId="0">
      <selection activeCell="B2" sqref="B2"/>
    </sheetView>
  </sheetViews>
  <sheetFormatPr defaultRowHeight="14.4" x14ac:dyDescent="0.3"/>
  <cols>
    <col min="1" max="1" width="43.109375" customWidth="1"/>
    <col min="2" max="2" width="68" customWidth="1"/>
    <col min="3" max="3" width="36.109375" customWidth="1"/>
  </cols>
  <sheetData>
    <row r="1" spans="1:3" x14ac:dyDescent="0.3">
      <c r="A1" s="2" t="s">
        <v>4</v>
      </c>
      <c r="B1" s="2" t="s">
        <v>0</v>
      </c>
      <c r="C1" s="2" t="s">
        <v>11</v>
      </c>
    </row>
    <row r="2" spans="1:3" ht="99.9" customHeight="1" x14ac:dyDescent="0.3">
      <c r="A2" s="1" t="s">
        <v>2</v>
      </c>
      <c r="B2" s="1" t="s">
        <v>75</v>
      </c>
      <c r="C2" s="1" t="s">
        <v>1</v>
      </c>
    </row>
    <row r="3" spans="1:3" ht="99.9" customHeight="1" x14ac:dyDescent="0.3">
      <c r="A3" s="1" t="s">
        <v>3</v>
      </c>
      <c r="B3" s="1" t="s">
        <v>76</v>
      </c>
      <c r="C3" s="1" t="s">
        <v>15</v>
      </c>
    </row>
    <row r="4" spans="1:3" ht="216" x14ac:dyDescent="0.3">
      <c r="A4" s="1" t="s">
        <v>5</v>
      </c>
      <c r="B4" s="1" t="s">
        <v>77</v>
      </c>
      <c r="C4" s="1" t="s">
        <v>16</v>
      </c>
    </row>
    <row r="5" spans="1:3" ht="216" x14ac:dyDescent="0.3">
      <c r="A5" s="1" t="s">
        <v>6</v>
      </c>
      <c r="B5" s="1" t="s">
        <v>78</v>
      </c>
      <c r="C5" s="1" t="s">
        <v>10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9"/>
  <sheetViews>
    <sheetView topLeftCell="B9" workbookViewId="0">
      <selection activeCell="C9" sqref="C9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  <col min="4" max="4" width="71.33203125" bestFit="1" customWidth="1"/>
  </cols>
  <sheetData>
    <row r="1" spans="1:4" x14ac:dyDescent="0.3">
      <c r="A1" s="2" t="s">
        <v>4</v>
      </c>
      <c r="B1" s="2" t="s">
        <v>0</v>
      </c>
      <c r="C1" s="2" t="s">
        <v>11</v>
      </c>
      <c r="D1" s="2" t="s">
        <v>9</v>
      </c>
    </row>
    <row r="2" spans="1:4" ht="99.9" customHeight="1" x14ac:dyDescent="0.3">
      <c r="A2" s="1" t="s">
        <v>2</v>
      </c>
      <c r="B2" s="1" t="s">
        <v>79</v>
      </c>
      <c r="C2" s="1" t="s">
        <v>17</v>
      </c>
      <c r="D2" s="1" t="s">
        <v>18</v>
      </c>
    </row>
    <row r="3" spans="1:4" ht="144" x14ac:dyDescent="0.3">
      <c r="A3" s="1" t="s">
        <v>3</v>
      </c>
      <c r="B3" s="1" t="s">
        <v>80</v>
      </c>
      <c r="C3" s="1" t="s">
        <v>58</v>
      </c>
      <c r="D3" s="1" t="s">
        <v>59</v>
      </c>
    </row>
    <row r="4" spans="1:4" ht="144" x14ac:dyDescent="0.3">
      <c r="A4" s="1" t="s">
        <v>5</v>
      </c>
      <c r="B4" s="1" t="s">
        <v>81</v>
      </c>
      <c r="C4" s="1" t="s">
        <v>60</v>
      </c>
      <c r="D4" s="1" t="s">
        <v>61</v>
      </c>
    </row>
    <row r="5" spans="1:4" ht="216" x14ac:dyDescent="0.3">
      <c r="A5" s="1" t="s">
        <v>6</v>
      </c>
      <c r="B5" s="1" t="s">
        <v>82</v>
      </c>
      <c r="C5" s="1" t="s">
        <v>19</v>
      </c>
      <c r="D5" s="1" t="s">
        <v>20</v>
      </c>
    </row>
    <row r="6" spans="1:4" ht="216" x14ac:dyDescent="0.3">
      <c r="A6" s="1" t="s">
        <v>7</v>
      </c>
      <c r="B6" s="1" t="s">
        <v>83</v>
      </c>
      <c r="C6" s="1" t="s">
        <v>62</v>
      </c>
      <c r="D6" s="1" t="s">
        <v>63</v>
      </c>
    </row>
    <row r="7" spans="1:4" ht="216" x14ac:dyDescent="0.3">
      <c r="A7" s="1" t="s">
        <v>8</v>
      </c>
      <c r="B7" s="1" t="s">
        <v>84</v>
      </c>
      <c r="C7" s="1" t="s">
        <v>64</v>
      </c>
      <c r="D7" s="1" t="s">
        <v>65</v>
      </c>
    </row>
    <row r="8" spans="1:4" ht="409.6" x14ac:dyDescent="0.3">
      <c r="A8" s="1" t="s">
        <v>22</v>
      </c>
      <c r="B8" s="1" t="s">
        <v>85</v>
      </c>
      <c r="C8" s="1" t="s">
        <v>66</v>
      </c>
      <c r="D8" s="1" t="s">
        <v>21</v>
      </c>
    </row>
    <row r="9" spans="1:4" ht="216" x14ac:dyDescent="0.3">
      <c r="A9" s="1" t="s">
        <v>34</v>
      </c>
      <c r="B9" s="1" t="s">
        <v>86</v>
      </c>
      <c r="C9" s="1" t="s">
        <v>67</v>
      </c>
      <c r="D9" s="1" t="s">
        <v>68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5"/>
  <sheetViews>
    <sheetView topLeftCell="A5" workbookViewId="0">
      <selection activeCell="B5" sqref="B5"/>
    </sheetView>
  </sheetViews>
  <sheetFormatPr defaultRowHeight="14.4" x14ac:dyDescent="0.3"/>
  <cols>
    <col min="1" max="1" width="36.5546875" customWidth="1"/>
    <col min="2" max="2" width="46.44140625" customWidth="1"/>
    <col min="3" max="3" width="53.109375" customWidth="1"/>
  </cols>
  <sheetData>
    <row r="1" spans="1:3" x14ac:dyDescent="0.3">
      <c r="A1" s="2" t="s">
        <v>4</v>
      </c>
      <c r="B1" s="2" t="s">
        <v>0</v>
      </c>
      <c r="C1" s="2" t="s">
        <v>11</v>
      </c>
    </row>
    <row r="2" spans="1:3" ht="172.8" x14ac:dyDescent="0.3">
      <c r="A2" s="1" t="s">
        <v>2</v>
      </c>
      <c r="B2" s="1" t="s">
        <v>87</v>
      </c>
      <c r="C2" s="1" t="s">
        <v>1</v>
      </c>
    </row>
    <row r="3" spans="1:3" ht="187.2" x14ac:dyDescent="0.3">
      <c r="A3" s="1" t="s">
        <v>3</v>
      </c>
      <c r="B3" s="1" t="s">
        <v>88</v>
      </c>
      <c r="C3" s="1" t="s">
        <v>23</v>
      </c>
    </row>
    <row r="4" spans="1:3" ht="201.6" x14ac:dyDescent="0.3">
      <c r="A4" s="1" t="s">
        <v>5</v>
      </c>
      <c r="B4" s="1" t="s">
        <v>89</v>
      </c>
      <c r="C4" s="1" t="s">
        <v>24</v>
      </c>
    </row>
    <row r="5" spans="1:3" ht="201.6" x14ac:dyDescent="0.3">
      <c r="A5" s="1" t="s">
        <v>6</v>
      </c>
      <c r="B5" s="1" t="s">
        <v>90</v>
      </c>
      <c r="C5" s="1" t="s">
        <v>25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6"/>
  <sheetViews>
    <sheetView workbookViewId="0"/>
  </sheetViews>
  <sheetFormatPr defaultRowHeight="14.4" x14ac:dyDescent="0.3"/>
  <cols>
    <col min="1" max="1" width="27.88671875" customWidth="1"/>
    <col min="2" max="2" width="78.109375" customWidth="1"/>
    <col min="3" max="3" width="31" customWidth="1"/>
    <col min="4" max="4" width="39.88671875" customWidth="1"/>
  </cols>
  <sheetData>
    <row r="1" spans="1:4" x14ac:dyDescent="0.3">
      <c r="A1" s="2" t="s">
        <v>4</v>
      </c>
      <c r="B1" s="2" t="s">
        <v>0</v>
      </c>
      <c r="C1" s="2" t="s">
        <v>11</v>
      </c>
      <c r="D1" s="2" t="s">
        <v>9</v>
      </c>
    </row>
    <row r="2" spans="1:4" ht="129.6" x14ac:dyDescent="0.3">
      <c r="A2" s="1" t="s">
        <v>2</v>
      </c>
      <c r="B2" s="1" t="s">
        <v>91</v>
      </c>
      <c r="C2" s="1" t="s">
        <v>58</v>
      </c>
      <c r="D2" s="1" t="s">
        <v>59</v>
      </c>
    </row>
    <row r="3" spans="1:4" ht="129.6" x14ac:dyDescent="0.3">
      <c r="A3" s="1" t="s">
        <v>3</v>
      </c>
      <c r="B3" s="1" t="s">
        <v>92</v>
      </c>
      <c r="C3" s="1" t="s">
        <v>60</v>
      </c>
      <c r="D3" s="1" t="s">
        <v>61</v>
      </c>
    </row>
    <row r="4" spans="1:4" ht="201.6" x14ac:dyDescent="0.3">
      <c r="A4" s="1" t="s">
        <v>5</v>
      </c>
      <c r="B4" s="1" t="s">
        <v>93</v>
      </c>
      <c r="C4" s="1" t="s">
        <v>62</v>
      </c>
      <c r="D4" s="1" t="s">
        <v>63</v>
      </c>
    </row>
    <row r="5" spans="1:4" ht="201.6" x14ac:dyDescent="0.3">
      <c r="A5" s="1" t="s">
        <v>6</v>
      </c>
      <c r="B5" s="1" t="s">
        <v>94</v>
      </c>
      <c r="C5" s="1" t="s">
        <v>64</v>
      </c>
      <c r="D5" s="1" t="s">
        <v>65</v>
      </c>
    </row>
    <row r="6" spans="1:4" ht="409.6" x14ac:dyDescent="0.3">
      <c r="A6" s="1" t="s">
        <v>7</v>
      </c>
      <c r="B6" s="1" t="s">
        <v>95</v>
      </c>
      <c r="C6" s="1" t="s">
        <v>66</v>
      </c>
      <c r="D6" s="1" t="s">
        <v>21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18"/>
  <sheetViews>
    <sheetView topLeftCell="A3" workbookViewId="0">
      <selection activeCell="B11" sqref="B11"/>
    </sheetView>
  </sheetViews>
  <sheetFormatPr defaultRowHeight="14.4" x14ac:dyDescent="0.3"/>
  <cols>
    <col min="1" max="1" width="10.5546875" bestFit="1" customWidth="1"/>
    <col min="2" max="2" width="92.88671875" customWidth="1"/>
    <col min="3" max="3" width="25" bestFit="1" customWidth="1"/>
    <col min="4" max="4" width="44" bestFit="1" customWidth="1"/>
  </cols>
  <sheetData>
    <row r="1" spans="1:4" x14ac:dyDescent="0.3">
      <c r="A1" s="2" t="s">
        <v>4</v>
      </c>
      <c r="B1" s="2" t="s">
        <v>12</v>
      </c>
      <c r="C1" s="2" t="s">
        <v>13</v>
      </c>
      <c r="D1" s="2" t="s">
        <v>11</v>
      </c>
    </row>
    <row r="2" spans="1:4" x14ac:dyDescent="0.3">
      <c r="A2" t="s">
        <v>2</v>
      </c>
      <c r="B2" t="s">
        <v>72</v>
      </c>
      <c r="C2" t="s">
        <v>14</v>
      </c>
      <c r="D2" t="s">
        <v>31</v>
      </c>
    </row>
    <row r="3" spans="1:4" x14ac:dyDescent="0.3">
      <c r="A3" t="s">
        <v>3</v>
      </c>
      <c r="B3" t="s">
        <v>26</v>
      </c>
      <c r="C3" t="s">
        <v>14</v>
      </c>
      <c r="D3" t="s">
        <v>30</v>
      </c>
    </row>
    <row r="4" spans="1:4" x14ac:dyDescent="0.3">
      <c r="A4" t="s">
        <v>5</v>
      </c>
      <c r="B4" t="s">
        <v>27</v>
      </c>
      <c r="C4" t="s">
        <v>14</v>
      </c>
      <c r="D4" t="s">
        <v>29</v>
      </c>
    </row>
    <row r="5" spans="1:4" x14ac:dyDescent="0.3">
      <c r="A5" t="s">
        <v>6</v>
      </c>
      <c r="B5" t="s">
        <v>73</v>
      </c>
      <c r="C5" t="s">
        <v>14</v>
      </c>
      <c r="D5" t="s">
        <v>28</v>
      </c>
    </row>
    <row r="6" spans="1:4" x14ac:dyDescent="0.3">
      <c r="A6" t="s">
        <v>7</v>
      </c>
      <c r="B6" t="s">
        <v>71</v>
      </c>
      <c r="C6" t="s">
        <v>14</v>
      </c>
      <c r="D6" t="s">
        <v>28</v>
      </c>
    </row>
    <row r="7" spans="1:4" x14ac:dyDescent="0.3">
      <c r="A7" t="s">
        <v>8</v>
      </c>
      <c r="B7" t="s">
        <v>32</v>
      </c>
      <c r="C7" t="s">
        <v>14</v>
      </c>
      <c r="D7" t="s">
        <v>33</v>
      </c>
    </row>
    <row r="8" spans="1:4" x14ac:dyDescent="0.3">
      <c r="A8" t="s">
        <v>22</v>
      </c>
      <c r="B8" t="s">
        <v>35</v>
      </c>
      <c r="C8" t="s">
        <v>14</v>
      </c>
      <c r="D8" t="s">
        <v>36</v>
      </c>
    </row>
    <row r="9" spans="1:4" x14ac:dyDescent="0.3">
      <c r="A9" t="s">
        <v>34</v>
      </c>
      <c r="B9" t="str">
        <f ca="1">"${strEndPoint}/${strResource}?entityCreatedTimestamp="&amp;TEXT(TODAY(),"yyyy-mm-dd")&amp;"&amp;isActive=true&amp;skip=0&amp;take=50"</f>
        <v>${strEndPoint}/${strResource}?entityCreatedTimestamp=2025-04-24&amp;isActive=true&amp;skip=0&amp;take=50</v>
      </c>
      <c r="C9" t="s">
        <v>14</v>
      </c>
      <c r="D9" t="s">
        <v>37</v>
      </c>
    </row>
    <row r="10" spans="1:4" x14ac:dyDescent="0.3">
      <c r="A10" t="s">
        <v>38</v>
      </c>
      <c r="B10" t="str">
        <f ca="1">"${strEndPoint}/${strResource}?personKey=${strPersonKey}&amp;caseKey=${strCaseKey}&amp;typeDisplayName=Medical%20Device&amp;subTypeDisplayName=Wheelchair&amp;note=Note&amp;entityCreatedAccountIdentifier=George.Parker&amp;isActive=true&amp;entityCreatedTimeStamp="&amp;TEXT(TODAY(),"yyyy-mm-dd")&amp;"&amp;skip=0&amp;take=50"</f>
        <v>${strEndPoint}/${strResource}?personKey=${strPersonKey}&amp;caseKey=${strCaseKey}&amp;typeDisplayName=Medical%20Device&amp;subTypeDisplayName=Wheelchair&amp;note=Note&amp;entityCreatedAccountIdentifier=George.Parker&amp;isActive=true&amp;entityCreatedTimeStamp=2025-04-24&amp;skip=0&amp;take=50</v>
      </c>
      <c r="C10" t="s">
        <v>14</v>
      </c>
      <c r="D10" t="s">
        <v>57</v>
      </c>
    </row>
    <row r="11" spans="1:4" x14ac:dyDescent="0.3">
      <c r="A11" t="s">
        <v>39</v>
      </c>
      <c r="B11" t="s">
        <v>51</v>
      </c>
      <c r="C11">
        <v>0</v>
      </c>
      <c r="D11" t="s">
        <v>45</v>
      </c>
    </row>
    <row r="12" spans="1:4" x14ac:dyDescent="0.3">
      <c r="A12" t="s">
        <v>40</v>
      </c>
      <c r="B12" t="s">
        <v>52</v>
      </c>
      <c r="C12">
        <v>0</v>
      </c>
      <c r="D12" t="s">
        <v>46</v>
      </c>
    </row>
    <row r="13" spans="1:4" x14ac:dyDescent="0.3">
      <c r="A13" t="s">
        <v>41</v>
      </c>
      <c r="B13" t="s">
        <v>70</v>
      </c>
      <c r="C13">
        <v>0</v>
      </c>
      <c r="D13" t="s">
        <v>47</v>
      </c>
    </row>
    <row r="14" spans="1:4" x14ac:dyDescent="0.3">
      <c r="A14" t="s">
        <v>42</v>
      </c>
      <c r="B14" t="s">
        <v>69</v>
      </c>
      <c r="C14">
        <v>0</v>
      </c>
      <c r="D14" t="s">
        <v>47</v>
      </c>
    </row>
    <row r="15" spans="1:4" x14ac:dyDescent="0.3">
      <c r="A15" t="s">
        <v>43</v>
      </c>
      <c r="B15" t="s">
        <v>53</v>
      </c>
      <c r="C15">
        <v>0</v>
      </c>
      <c r="D15" t="s">
        <v>50</v>
      </c>
    </row>
    <row r="16" spans="1:4" x14ac:dyDescent="0.3">
      <c r="A16" t="s">
        <v>44</v>
      </c>
      <c r="B16" t="s">
        <v>54</v>
      </c>
      <c r="C16">
        <v>0</v>
      </c>
      <c r="D16" t="s">
        <v>48</v>
      </c>
    </row>
    <row r="17" spans="1:4" x14ac:dyDescent="0.3">
      <c r="A17" t="s">
        <v>56</v>
      </c>
      <c r="B17" t="s">
        <v>55</v>
      </c>
      <c r="C17">
        <v>0</v>
      </c>
      <c r="D17" t="s">
        <v>49</v>
      </c>
    </row>
    <row r="18" spans="1:4" x14ac:dyDescent="0.3">
      <c r="A18" t="s">
        <v>74</v>
      </c>
      <c r="B18" t="str">
        <f ca="1">"${strEndPoint}/${strResource}?personKey=${strPersonKey}&amp;caseKey=${strCaseKey}&amp;typeDisplayName=Medical%20Device&amp;subTypeDisplayName=Wheelchair&amp;note=Note&amp;entityCreatedAccountIdentifier=George.Parker&amp;isActive=true&amp;entityCreatedTimeStamp="&amp;TEXT(TODAY(),"yyyy-mm-dd")&amp;"&amp;skip=0&amp;take=50"</f>
        <v>${strEndPoint}/${strResource}?personKey=${strPersonKey}&amp;caseKey=${strCaseKey}&amp;typeDisplayName=Medical%20Device&amp;subTypeDisplayName=Wheelchair&amp;note=Note&amp;entityCreatedAccountIdentifier=George.Parker&amp;isActive=true&amp;entityCreatedTimeStamp=2025-04-24&amp;skip=0&amp;take=50</v>
      </c>
      <c r="C18" t="s">
        <v>14</v>
      </c>
      <c r="D18" t="s">
        <v>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647991_001_TC001</vt:lpstr>
      <vt:lpstr>647991_001_TC002</vt:lpstr>
      <vt:lpstr>647991_002_TC001</vt:lpstr>
      <vt:lpstr>647991_002_TC002</vt:lpstr>
      <vt:lpstr>647991_003_TC001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2025-04-23T18:35:06Z</dcterms:modified>
</cp:coreProperties>
</file>